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in\juwavelet\SABER Notebooks\"/>
    </mc:Choice>
  </mc:AlternateContent>
  <xr:revisionPtr revIDLastSave="0" documentId="13_ncr:1_{8985CD07-C272-49CB-A0F1-07A5807DE34B}" xr6:coauthVersionLast="47" xr6:coauthVersionMax="47" xr10:uidLastSave="{00000000-0000-0000-0000-000000000000}"/>
  <bookViews>
    <workbookView xWindow="-103" yWindow="-103" windowWidth="33120" windowHeight="18000" activeTab="1" xr2:uid="{1E664C13-2A78-415D-B525-54BFD5018E1B}"/>
  </bookViews>
  <sheets>
    <sheet name="Comparison AWE vs BLO" sheetId="2" r:id="rId1"/>
    <sheet name="Summary compariso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6" i="3" l="1"/>
  <c r="E55" i="3"/>
  <c r="C56" i="3"/>
  <c r="C55" i="3"/>
</calcChain>
</file>

<file path=xl/sharedStrings.xml><?xml version="1.0" encoding="utf-8"?>
<sst xmlns="http://schemas.openxmlformats.org/spreadsheetml/2006/main" count="63" uniqueCount="56">
  <si>
    <t>Date</t>
  </si>
  <si>
    <t>AWE Temp</t>
  </si>
  <si>
    <t>AWE STD</t>
  </si>
  <si>
    <t>Nov21-22</t>
  </si>
  <si>
    <t>Nov28-29</t>
  </si>
  <si>
    <t>Nov29-30</t>
  </si>
  <si>
    <t>Dec31-01</t>
  </si>
  <si>
    <t>Jan08-09</t>
  </si>
  <si>
    <t>Feb29-01</t>
  </si>
  <si>
    <t>Mar09-10</t>
  </si>
  <si>
    <t>Mar15-16</t>
  </si>
  <si>
    <t>May01-02</t>
  </si>
  <si>
    <t>May08-09</t>
  </si>
  <si>
    <t>May13-14</t>
  </si>
  <si>
    <t>Jul13-14</t>
  </si>
  <si>
    <t>Jul16-17</t>
  </si>
  <si>
    <t>Jul17-18</t>
  </si>
  <si>
    <t>Sep03-04</t>
  </si>
  <si>
    <t>Sep07-08</t>
  </si>
  <si>
    <t>Sep08-09</t>
  </si>
  <si>
    <t>Sep09-10</t>
  </si>
  <si>
    <t>Sep12-13</t>
  </si>
  <si>
    <t>Sep13-14</t>
  </si>
  <si>
    <t>Sep20-21</t>
  </si>
  <si>
    <t>Sep21-22</t>
  </si>
  <si>
    <t>Sep24-25</t>
  </si>
  <si>
    <t>Oct26-27</t>
  </si>
  <si>
    <t>Nov03-04</t>
  </si>
  <si>
    <t>Nov06-07</t>
  </si>
  <si>
    <t>Nov08-09</t>
  </si>
  <si>
    <t>Nov09-10</t>
  </si>
  <si>
    <t>Nov11-12</t>
  </si>
  <si>
    <t>Nov12-13</t>
  </si>
  <si>
    <t>Jan02-03</t>
  </si>
  <si>
    <t>Jan19-20</t>
  </si>
  <si>
    <t>Jan22-23</t>
  </si>
  <si>
    <t>Jan23-24</t>
  </si>
  <si>
    <t>Year</t>
  </si>
  <si>
    <t>BLO Temp</t>
  </si>
  <si>
    <t>BLO STD</t>
  </si>
  <si>
    <t>Avg</t>
  </si>
  <si>
    <t>STD</t>
  </si>
  <si>
    <t>Feb27-28</t>
  </si>
  <si>
    <t>Apr30-May01</t>
  </si>
  <si>
    <t>May04-05</t>
  </si>
  <si>
    <t>May10-11</t>
  </si>
  <si>
    <t>May18-19</t>
  </si>
  <si>
    <t>Jun30-Jul01</t>
  </si>
  <si>
    <t>Jul01-02</t>
  </si>
  <si>
    <t>Jul05-06</t>
  </si>
  <si>
    <t>Aug30-31</t>
  </si>
  <si>
    <t>Sep02-03</t>
  </si>
  <si>
    <t>Sep05-06</t>
  </si>
  <si>
    <t>Sep06-07</t>
  </si>
  <si>
    <t>Sep15-16</t>
  </si>
  <si>
    <t>Sep16-17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</si>
</sst>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4" fontId="0" fillId="0" borderId="0" xfId="0" applyNumberFormat="1" applyFill="1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617139686412169"/>
          <c:y val="2.2190971657983276E-2"/>
          <c:w val="0.86771361155529136"/>
          <c:h val="0.86443683142152627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2312460521785857"/>
                  <c:y val="1.000202877038071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'Summary comparison'!$D$2:$D$54</c:f>
                <c:numCache>
                  <c:formatCode>General</c:formatCode>
                  <c:ptCount val="53"/>
                  <c:pt idx="0">
                    <c:v>0.04</c:v>
                  </c:pt>
                  <c:pt idx="1">
                    <c:v>0.97</c:v>
                  </c:pt>
                  <c:pt idx="2">
                    <c:v>0.33857990307856933</c:v>
                  </c:pt>
                  <c:pt idx="3">
                    <c:v>0.67590413490655754</c:v>
                  </c:pt>
                  <c:pt idx="4">
                    <c:v>1.2144240563202136</c:v>
                  </c:pt>
                  <c:pt idx="5">
                    <c:v>1.6701906984599131</c:v>
                  </c:pt>
                  <c:pt idx="6">
                    <c:v>0.54594258265265827</c:v>
                  </c:pt>
                  <c:pt idx="7">
                    <c:v>0.23789502066890084</c:v>
                  </c:pt>
                  <c:pt idx="8">
                    <c:v>0.43295786582629281</c:v>
                  </c:pt>
                  <c:pt idx="9">
                    <c:v>0.48253655559107794</c:v>
                  </c:pt>
                  <c:pt idx="10">
                    <c:v>0.90939611633051398</c:v>
                  </c:pt>
                  <c:pt idx="11">
                    <c:v>0.82904433120436105</c:v>
                  </c:pt>
                  <c:pt idx="12">
                    <c:v>0.60223737725297133</c:v>
                  </c:pt>
                  <c:pt idx="13">
                    <c:v>0.70546161744565306</c:v>
                  </c:pt>
                  <c:pt idx="14">
                    <c:v>0.38656534486955396</c:v>
                  </c:pt>
                  <c:pt idx="15">
                    <c:v>0.88078860646930268</c:v>
                  </c:pt>
                  <c:pt idx="16">
                    <c:v>0.56498032403391907</c:v>
                  </c:pt>
                  <c:pt idx="17">
                    <c:v>0.68949600342642881</c:v>
                  </c:pt>
                  <c:pt idx="18">
                    <c:v>1.0414347488418696</c:v>
                  </c:pt>
                  <c:pt idx="19">
                    <c:v>0.55488630993367405</c:v>
                  </c:pt>
                  <c:pt idx="20">
                    <c:v>0.67638615541660829</c:v>
                  </c:pt>
                  <c:pt idx="21">
                    <c:v>0.61317450892989223</c:v>
                  </c:pt>
                  <c:pt idx="22">
                    <c:v>0.82180607022994823</c:v>
                  </c:pt>
                  <c:pt idx="23">
                    <c:v>0.5160155286239777</c:v>
                  </c:pt>
                  <c:pt idx="24">
                    <c:v>1.7882526548007498</c:v>
                  </c:pt>
                  <c:pt idx="25">
                    <c:v>0.96759075588687271</c:v>
                  </c:pt>
                  <c:pt idx="26">
                    <c:v>0.82707985163301001</c:v>
                  </c:pt>
                  <c:pt idx="27">
                    <c:v>0.72484455840033724</c:v>
                  </c:pt>
                  <c:pt idx="28">
                    <c:v>1.5370822205374801</c:v>
                  </c:pt>
                  <c:pt idx="29">
                    <c:v>0.27784445822275627</c:v>
                  </c:pt>
                  <c:pt idx="30">
                    <c:v>1.0691569413282402</c:v>
                  </c:pt>
                  <c:pt idx="31">
                    <c:v>0.42438086443317474</c:v>
                  </c:pt>
                  <c:pt idx="32">
                    <c:v>0.24634793470395167</c:v>
                  </c:pt>
                  <c:pt idx="33">
                    <c:v>1.1514391466626885</c:v>
                  </c:pt>
                  <c:pt idx="34">
                    <c:v>1.3822208348394085</c:v>
                  </c:pt>
                  <c:pt idx="35">
                    <c:v>0.37528662449802708</c:v>
                  </c:pt>
                  <c:pt idx="36">
                    <c:v>0.52389013232931492</c:v>
                  </c:pt>
                  <c:pt idx="37">
                    <c:v>0.70098844992059284</c:v>
                  </c:pt>
                  <c:pt idx="38">
                    <c:v>1.8432828961173044</c:v>
                  </c:pt>
                  <c:pt idx="39">
                    <c:v>1.7205244299491385</c:v>
                  </c:pt>
                  <c:pt idx="40">
                    <c:v>0.76197225541779778</c:v>
                  </c:pt>
                  <c:pt idx="41">
                    <c:v>1.1317749673023205</c:v>
                  </c:pt>
                  <c:pt idx="42">
                    <c:v>0.37328716685442698</c:v>
                  </c:pt>
                  <c:pt idx="43">
                    <c:v>0.70173599730330161</c:v>
                  </c:pt>
                  <c:pt idx="44">
                    <c:v>0.83408057617841314</c:v>
                  </c:pt>
                  <c:pt idx="45">
                    <c:v>0.42401815705619655</c:v>
                  </c:pt>
                  <c:pt idx="46">
                    <c:v>0.96000686902749377</c:v>
                  </c:pt>
                  <c:pt idx="47">
                    <c:v>0.43845764258257675</c:v>
                  </c:pt>
                  <c:pt idx="48">
                    <c:v>1.2003119601528158</c:v>
                  </c:pt>
                  <c:pt idx="49">
                    <c:v>1.3099469530446077</c:v>
                  </c:pt>
                  <c:pt idx="50">
                    <c:v>1.4501013668666303</c:v>
                  </c:pt>
                  <c:pt idx="51">
                    <c:v>1.732352363479073</c:v>
                  </c:pt>
                  <c:pt idx="52">
                    <c:v>0.50938724496780519</c:v>
                  </c:pt>
                </c:numCache>
              </c:numRef>
            </c:plus>
            <c:minus>
              <c:numRef>
                <c:f>'Summary comparison'!$D$2:$D$54</c:f>
                <c:numCache>
                  <c:formatCode>General</c:formatCode>
                  <c:ptCount val="53"/>
                  <c:pt idx="0">
                    <c:v>0.04</c:v>
                  </c:pt>
                  <c:pt idx="1">
                    <c:v>0.97</c:v>
                  </c:pt>
                  <c:pt idx="2">
                    <c:v>0.33857990307856933</c:v>
                  </c:pt>
                  <c:pt idx="3">
                    <c:v>0.67590413490655754</c:v>
                  </c:pt>
                  <c:pt idx="4">
                    <c:v>1.2144240563202136</c:v>
                  </c:pt>
                  <c:pt idx="5">
                    <c:v>1.6701906984599131</c:v>
                  </c:pt>
                  <c:pt idx="6">
                    <c:v>0.54594258265265827</c:v>
                  </c:pt>
                  <c:pt idx="7">
                    <c:v>0.23789502066890084</c:v>
                  </c:pt>
                  <c:pt idx="8">
                    <c:v>0.43295786582629281</c:v>
                  </c:pt>
                  <c:pt idx="9">
                    <c:v>0.48253655559107794</c:v>
                  </c:pt>
                  <c:pt idx="10">
                    <c:v>0.90939611633051398</c:v>
                  </c:pt>
                  <c:pt idx="11">
                    <c:v>0.82904433120436105</c:v>
                  </c:pt>
                  <c:pt idx="12">
                    <c:v>0.60223737725297133</c:v>
                  </c:pt>
                  <c:pt idx="13">
                    <c:v>0.70546161744565306</c:v>
                  </c:pt>
                  <c:pt idx="14">
                    <c:v>0.38656534486955396</c:v>
                  </c:pt>
                  <c:pt idx="15">
                    <c:v>0.88078860646930268</c:v>
                  </c:pt>
                  <c:pt idx="16">
                    <c:v>0.56498032403391907</c:v>
                  </c:pt>
                  <c:pt idx="17">
                    <c:v>0.68949600342642881</c:v>
                  </c:pt>
                  <c:pt idx="18">
                    <c:v>1.0414347488418696</c:v>
                  </c:pt>
                  <c:pt idx="19">
                    <c:v>0.55488630993367405</c:v>
                  </c:pt>
                  <c:pt idx="20">
                    <c:v>0.67638615541660829</c:v>
                  </c:pt>
                  <c:pt idx="21">
                    <c:v>0.61317450892989223</c:v>
                  </c:pt>
                  <c:pt idx="22">
                    <c:v>0.82180607022994823</c:v>
                  </c:pt>
                  <c:pt idx="23">
                    <c:v>0.5160155286239777</c:v>
                  </c:pt>
                  <c:pt idx="24">
                    <c:v>1.7882526548007498</c:v>
                  </c:pt>
                  <c:pt idx="25">
                    <c:v>0.96759075588687271</c:v>
                  </c:pt>
                  <c:pt idx="26">
                    <c:v>0.82707985163301001</c:v>
                  </c:pt>
                  <c:pt idx="27">
                    <c:v>0.72484455840033724</c:v>
                  </c:pt>
                  <c:pt idx="28">
                    <c:v>1.5370822205374801</c:v>
                  </c:pt>
                  <c:pt idx="29">
                    <c:v>0.27784445822275627</c:v>
                  </c:pt>
                  <c:pt idx="30">
                    <c:v>1.0691569413282402</c:v>
                  </c:pt>
                  <c:pt idx="31">
                    <c:v>0.42438086443317474</c:v>
                  </c:pt>
                  <c:pt idx="32">
                    <c:v>0.24634793470395167</c:v>
                  </c:pt>
                  <c:pt idx="33">
                    <c:v>1.1514391466626885</c:v>
                  </c:pt>
                  <c:pt idx="34">
                    <c:v>1.3822208348394085</c:v>
                  </c:pt>
                  <c:pt idx="35">
                    <c:v>0.37528662449802708</c:v>
                  </c:pt>
                  <c:pt idx="36">
                    <c:v>0.52389013232931492</c:v>
                  </c:pt>
                  <c:pt idx="37">
                    <c:v>0.70098844992059284</c:v>
                  </c:pt>
                  <c:pt idx="38">
                    <c:v>1.8432828961173044</c:v>
                  </c:pt>
                  <c:pt idx="39">
                    <c:v>1.7205244299491385</c:v>
                  </c:pt>
                  <c:pt idx="40">
                    <c:v>0.76197225541779778</c:v>
                  </c:pt>
                  <c:pt idx="41">
                    <c:v>1.1317749673023205</c:v>
                  </c:pt>
                  <c:pt idx="42">
                    <c:v>0.37328716685442698</c:v>
                  </c:pt>
                  <c:pt idx="43">
                    <c:v>0.70173599730330161</c:v>
                  </c:pt>
                  <c:pt idx="44">
                    <c:v>0.83408057617841314</c:v>
                  </c:pt>
                  <c:pt idx="45">
                    <c:v>0.42401815705619655</c:v>
                  </c:pt>
                  <c:pt idx="46">
                    <c:v>0.96000686902749377</c:v>
                  </c:pt>
                  <c:pt idx="47">
                    <c:v>0.43845764258257675</c:v>
                  </c:pt>
                  <c:pt idx="48">
                    <c:v>1.2003119601528158</c:v>
                  </c:pt>
                  <c:pt idx="49">
                    <c:v>1.3099469530446077</c:v>
                  </c:pt>
                  <c:pt idx="50">
                    <c:v>1.4501013668666303</c:v>
                  </c:pt>
                  <c:pt idx="51">
                    <c:v>1.732352363479073</c:v>
                  </c:pt>
                  <c:pt idx="52">
                    <c:v>0.50938724496780519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cust"/>
            <c:noEndCap val="0"/>
            <c:plus>
              <c:numRef>
                <c:f>'Summary comparison'!$F$2:$F$54</c:f>
                <c:numCache>
                  <c:formatCode>General</c:formatCode>
                  <c:ptCount val="53"/>
                  <c:pt idx="0">
                    <c:v>0.32</c:v>
                  </c:pt>
                  <c:pt idx="1">
                    <c:v>1.2746338468086047</c:v>
                  </c:pt>
                  <c:pt idx="2">
                    <c:v>0.31172936959447639</c:v>
                  </c:pt>
                  <c:pt idx="3">
                    <c:v>0.93927351496822853</c:v>
                  </c:pt>
                  <c:pt idx="4">
                    <c:v>1.4403348471885764</c:v>
                  </c:pt>
                  <c:pt idx="5">
                    <c:v>0.68686674033056194</c:v>
                  </c:pt>
                  <c:pt idx="6">
                    <c:v>0.61101854157714441</c:v>
                  </c:pt>
                  <c:pt idx="7">
                    <c:v>0.64753594374348655</c:v>
                  </c:pt>
                  <c:pt idx="8">
                    <c:v>0.49245184148687787</c:v>
                  </c:pt>
                  <c:pt idx="9">
                    <c:v>0.90429796522376227</c:v>
                  </c:pt>
                  <c:pt idx="10">
                    <c:v>0.96649424606335599</c:v>
                  </c:pt>
                  <c:pt idx="11">
                    <c:v>1.0566023709415195</c:v>
                  </c:pt>
                  <c:pt idx="12">
                    <c:v>2.2322673313435684</c:v>
                  </c:pt>
                  <c:pt idx="13">
                    <c:v>1.2652519132452451</c:v>
                  </c:pt>
                  <c:pt idx="14">
                    <c:v>0.62271239717135274</c:v>
                  </c:pt>
                  <c:pt idx="15">
                    <c:v>0.91618959493866392</c:v>
                  </c:pt>
                  <c:pt idx="16">
                    <c:v>1.4912831020631117</c:v>
                  </c:pt>
                  <c:pt idx="17">
                    <c:v>0.75420115683962652</c:v>
                  </c:pt>
                  <c:pt idx="18">
                    <c:v>0.45635607034266279</c:v>
                  </c:pt>
                  <c:pt idx="19">
                    <c:v>0.45125364337807672</c:v>
                  </c:pt>
                  <c:pt idx="20">
                    <c:v>1.040284749215215</c:v>
                  </c:pt>
                  <c:pt idx="21">
                    <c:v>0.55402070296117345</c:v>
                  </c:pt>
                  <c:pt idx="22">
                    <c:v>0.66314728242059617</c:v>
                  </c:pt>
                  <c:pt idx="23">
                    <c:v>0.92785259774908035</c:v>
                  </c:pt>
                  <c:pt idx="24">
                    <c:v>0.7490394087093093</c:v>
                  </c:pt>
                  <c:pt idx="25">
                    <c:v>0.51113976766433189</c:v>
                  </c:pt>
                  <c:pt idx="26">
                    <c:v>0.64503025479838016</c:v>
                  </c:pt>
                  <c:pt idx="27">
                    <c:v>1.0119889534720974</c:v>
                  </c:pt>
                  <c:pt idx="28">
                    <c:v>0.94022882373459249</c:v>
                  </c:pt>
                  <c:pt idx="29">
                    <c:v>0.53650702282766349</c:v>
                  </c:pt>
                  <c:pt idx="30">
                    <c:v>0.78609056886015538</c:v>
                  </c:pt>
                  <c:pt idx="31">
                    <c:v>1.1738637109978716</c:v>
                  </c:pt>
                  <c:pt idx="32">
                    <c:v>0.81530986580787546</c:v>
                  </c:pt>
                  <c:pt idx="33">
                    <c:v>0.8622524409275526</c:v>
                  </c:pt>
                  <c:pt idx="34">
                    <c:v>1.1471525724608094</c:v>
                  </c:pt>
                  <c:pt idx="35">
                    <c:v>0.48588815773151312</c:v>
                  </c:pt>
                  <c:pt idx="36">
                    <c:v>0.64702685019323647</c:v>
                  </c:pt>
                  <c:pt idx="37">
                    <c:v>0.43563141168521219</c:v>
                  </c:pt>
                  <c:pt idx="38">
                    <c:v>1.4307720931450609</c:v>
                  </c:pt>
                  <c:pt idx="39">
                    <c:v>0.91013428714692468</c:v>
                  </c:pt>
                  <c:pt idx="40">
                    <c:v>0.76533191725559246</c:v>
                  </c:pt>
                  <c:pt idx="41">
                    <c:v>0.71581154948226289</c:v>
                  </c:pt>
                  <c:pt idx="42">
                    <c:v>1.4768801228596189</c:v>
                  </c:pt>
                  <c:pt idx="43">
                    <c:v>0.85211329610327413</c:v>
                  </c:pt>
                  <c:pt idx="44">
                    <c:v>2.8470396520045003</c:v>
                  </c:pt>
                  <c:pt idx="45">
                    <c:v>0.203670402772308</c:v>
                  </c:pt>
                  <c:pt idx="46">
                    <c:v>1.2605550077793013</c:v>
                  </c:pt>
                  <c:pt idx="47">
                    <c:v>0.79477448008690965</c:v>
                  </c:pt>
                  <c:pt idx="48">
                    <c:v>2.2520018680091902</c:v>
                  </c:pt>
                  <c:pt idx="49">
                    <c:v>0.37802468006739892</c:v>
                  </c:pt>
                  <c:pt idx="50">
                    <c:v>1.5795675124360824</c:v>
                  </c:pt>
                  <c:pt idx="51">
                    <c:v>0.63722090973122825</c:v>
                  </c:pt>
                  <c:pt idx="52">
                    <c:v>1.2277456721186422</c:v>
                  </c:pt>
                </c:numCache>
              </c:numRef>
            </c:plus>
            <c:minus>
              <c:numRef>
                <c:f>'Summary comparison'!$F$2:$F$54</c:f>
                <c:numCache>
                  <c:formatCode>General</c:formatCode>
                  <c:ptCount val="53"/>
                  <c:pt idx="0">
                    <c:v>0.32</c:v>
                  </c:pt>
                  <c:pt idx="1">
                    <c:v>1.2746338468086047</c:v>
                  </c:pt>
                  <c:pt idx="2">
                    <c:v>0.31172936959447639</c:v>
                  </c:pt>
                  <c:pt idx="3">
                    <c:v>0.93927351496822853</c:v>
                  </c:pt>
                  <c:pt idx="4">
                    <c:v>1.4403348471885764</c:v>
                  </c:pt>
                  <c:pt idx="5">
                    <c:v>0.68686674033056194</c:v>
                  </c:pt>
                  <c:pt idx="6">
                    <c:v>0.61101854157714441</c:v>
                  </c:pt>
                  <c:pt idx="7">
                    <c:v>0.64753594374348655</c:v>
                  </c:pt>
                  <c:pt idx="8">
                    <c:v>0.49245184148687787</c:v>
                  </c:pt>
                  <c:pt idx="9">
                    <c:v>0.90429796522376227</c:v>
                  </c:pt>
                  <c:pt idx="10">
                    <c:v>0.96649424606335599</c:v>
                  </c:pt>
                  <c:pt idx="11">
                    <c:v>1.0566023709415195</c:v>
                  </c:pt>
                  <c:pt idx="12">
                    <c:v>2.2322673313435684</c:v>
                  </c:pt>
                  <c:pt idx="13">
                    <c:v>1.2652519132452451</c:v>
                  </c:pt>
                  <c:pt idx="14">
                    <c:v>0.62271239717135274</c:v>
                  </c:pt>
                  <c:pt idx="15">
                    <c:v>0.91618959493866392</c:v>
                  </c:pt>
                  <c:pt idx="16">
                    <c:v>1.4912831020631117</c:v>
                  </c:pt>
                  <c:pt idx="17">
                    <c:v>0.75420115683962652</c:v>
                  </c:pt>
                  <c:pt idx="18">
                    <c:v>0.45635607034266279</c:v>
                  </c:pt>
                  <c:pt idx="19">
                    <c:v>0.45125364337807672</c:v>
                  </c:pt>
                  <c:pt idx="20">
                    <c:v>1.040284749215215</c:v>
                  </c:pt>
                  <c:pt idx="21">
                    <c:v>0.55402070296117345</c:v>
                  </c:pt>
                  <c:pt idx="22">
                    <c:v>0.66314728242059617</c:v>
                  </c:pt>
                  <c:pt idx="23">
                    <c:v>0.92785259774908035</c:v>
                  </c:pt>
                  <c:pt idx="24">
                    <c:v>0.7490394087093093</c:v>
                  </c:pt>
                  <c:pt idx="25">
                    <c:v>0.51113976766433189</c:v>
                  </c:pt>
                  <c:pt idx="26">
                    <c:v>0.64503025479838016</c:v>
                  </c:pt>
                  <c:pt idx="27">
                    <c:v>1.0119889534720974</c:v>
                  </c:pt>
                  <c:pt idx="28">
                    <c:v>0.94022882373459249</c:v>
                  </c:pt>
                  <c:pt idx="29">
                    <c:v>0.53650702282766349</c:v>
                  </c:pt>
                  <c:pt idx="30">
                    <c:v>0.78609056886015538</c:v>
                  </c:pt>
                  <c:pt idx="31">
                    <c:v>1.1738637109978716</c:v>
                  </c:pt>
                  <c:pt idx="32">
                    <c:v>0.81530986580787546</c:v>
                  </c:pt>
                  <c:pt idx="33">
                    <c:v>0.8622524409275526</c:v>
                  </c:pt>
                  <c:pt idx="34">
                    <c:v>1.1471525724608094</c:v>
                  </c:pt>
                  <c:pt idx="35">
                    <c:v>0.48588815773151312</c:v>
                  </c:pt>
                  <c:pt idx="36">
                    <c:v>0.64702685019323647</c:v>
                  </c:pt>
                  <c:pt idx="37">
                    <c:v>0.43563141168521219</c:v>
                  </c:pt>
                  <c:pt idx="38">
                    <c:v>1.4307720931450609</c:v>
                  </c:pt>
                  <c:pt idx="39">
                    <c:v>0.91013428714692468</c:v>
                  </c:pt>
                  <c:pt idx="40">
                    <c:v>0.76533191725559246</c:v>
                  </c:pt>
                  <c:pt idx="41">
                    <c:v>0.71581154948226289</c:v>
                  </c:pt>
                  <c:pt idx="42">
                    <c:v>1.4768801228596189</c:v>
                  </c:pt>
                  <c:pt idx="43">
                    <c:v>0.85211329610327413</c:v>
                  </c:pt>
                  <c:pt idx="44">
                    <c:v>2.8470396520045003</c:v>
                  </c:pt>
                  <c:pt idx="45">
                    <c:v>0.203670402772308</c:v>
                  </c:pt>
                  <c:pt idx="46">
                    <c:v>1.2605550077793013</c:v>
                  </c:pt>
                  <c:pt idx="47">
                    <c:v>0.79477448008690965</c:v>
                  </c:pt>
                  <c:pt idx="48">
                    <c:v>2.2520018680091902</c:v>
                  </c:pt>
                  <c:pt idx="49">
                    <c:v>0.37802468006739892</c:v>
                  </c:pt>
                  <c:pt idx="50">
                    <c:v>1.5795675124360824</c:v>
                  </c:pt>
                  <c:pt idx="51">
                    <c:v>0.63722090973122825</c:v>
                  </c:pt>
                  <c:pt idx="52">
                    <c:v>1.2277456721186422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'Summary comparison'!$C$2:$C$54</c:f>
              <c:numCache>
                <c:formatCode>General</c:formatCode>
                <c:ptCount val="53"/>
                <c:pt idx="0">
                  <c:v>209.53</c:v>
                </c:pt>
                <c:pt idx="1">
                  <c:v>199.98</c:v>
                </c:pt>
                <c:pt idx="2">
                  <c:v>198.75855507299508</c:v>
                </c:pt>
                <c:pt idx="3">
                  <c:v>222.08475496811042</c:v>
                </c:pt>
                <c:pt idx="4">
                  <c:v>188.14112456658327</c:v>
                </c:pt>
                <c:pt idx="5">
                  <c:v>208.26223701697359</c:v>
                </c:pt>
                <c:pt idx="6">
                  <c:v>199.59230947160759</c:v>
                </c:pt>
                <c:pt idx="7">
                  <c:v>187.38332165968177</c:v>
                </c:pt>
                <c:pt idx="8">
                  <c:v>182.96300515546471</c:v>
                </c:pt>
                <c:pt idx="9">
                  <c:v>192.57512937318376</c:v>
                </c:pt>
                <c:pt idx="10">
                  <c:v>177.73208506151701</c:v>
                </c:pt>
                <c:pt idx="11">
                  <c:v>183.90193577156123</c:v>
                </c:pt>
                <c:pt idx="12">
                  <c:v>198.10607874119461</c:v>
                </c:pt>
                <c:pt idx="13">
                  <c:v>196.90756343458841</c:v>
                </c:pt>
                <c:pt idx="14">
                  <c:v>205.39687071036178</c:v>
                </c:pt>
                <c:pt idx="15">
                  <c:v>202.66232445088423</c:v>
                </c:pt>
                <c:pt idx="16">
                  <c:v>196.02705843095137</c:v>
                </c:pt>
                <c:pt idx="17">
                  <c:v>194.20068087932762</c:v>
                </c:pt>
                <c:pt idx="18">
                  <c:v>189.9383572102054</c:v>
                </c:pt>
                <c:pt idx="19">
                  <c:v>200.56942496960681</c:v>
                </c:pt>
                <c:pt idx="20">
                  <c:v>199.00881931873022</c:v>
                </c:pt>
                <c:pt idx="21">
                  <c:v>199.00881931873022</c:v>
                </c:pt>
                <c:pt idx="22">
                  <c:v>195.93798904065497</c:v>
                </c:pt>
                <c:pt idx="23">
                  <c:v>208.86882923169622</c:v>
                </c:pt>
                <c:pt idx="24">
                  <c:v>209.48824893057031</c:v>
                </c:pt>
                <c:pt idx="25">
                  <c:v>209.03047528280558</c:v>
                </c:pt>
                <c:pt idx="26">
                  <c:v>215.9988361927436</c:v>
                </c:pt>
                <c:pt idx="27">
                  <c:v>214.2979707360966</c:v>
                </c:pt>
                <c:pt idx="28">
                  <c:v>214.82250308789102</c:v>
                </c:pt>
                <c:pt idx="29">
                  <c:v>203.98486350945072</c:v>
                </c:pt>
                <c:pt idx="30">
                  <c:v>201.09753757173797</c:v>
                </c:pt>
                <c:pt idx="31">
                  <c:v>209.49654333684765</c:v>
                </c:pt>
                <c:pt idx="32">
                  <c:v>204.61643779903517</c:v>
                </c:pt>
                <c:pt idx="33">
                  <c:v>217.65225580507544</c:v>
                </c:pt>
                <c:pt idx="34">
                  <c:v>196.97565790106998</c:v>
                </c:pt>
                <c:pt idx="35">
                  <c:v>178.28364376759509</c:v>
                </c:pt>
                <c:pt idx="36">
                  <c:v>187.52258304135484</c:v>
                </c:pt>
                <c:pt idx="37">
                  <c:v>187.60225212499995</c:v>
                </c:pt>
                <c:pt idx="38">
                  <c:v>194.613908261826</c:v>
                </c:pt>
                <c:pt idx="39">
                  <c:v>172.2740131125</c:v>
                </c:pt>
                <c:pt idx="40">
                  <c:v>171.94302339208804</c:v>
                </c:pt>
                <c:pt idx="41">
                  <c:v>189.5452664957005</c:v>
                </c:pt>
                <c:pt idx="42">
                  <c:v>180.82954958269141</c:v>
                </c:pt>
                <c:pt idx="43">
                  <c:v>201.83849897108649</c:v>
                </c:pt>
                <c:pt idx="44">
                  <c:v>220.03074033497404</c:v>
                </c:pt>
                <c:pt idx="45">
                  <c:v>200.01481133125685</c:v>
                </c:pt>
                <c:pt idx="46">
                  <c:v>190.59374472044647</c:v>
                </c:pt>
                <c:pt idx="47">
                  <c:v>199.33616638682943</c:v>
                </c:pt>
                <c:pt idx="48">
                  <c:v>198.71732027239591</c:v>
                </c:pt>
                <c:pt idx="49">
                  <c:v>195.76138202522873</c:v>
                </c:pt>
                <c:pt idx="50">
                  <c:v>202.67931252028501</c:v>
                </c:pt>
                <c:pt idx="51">
                  <c:v>195.89919533035808</c:v>
                </c:pt>
                <c:pt idx="52">
                  <c:v>203.42632648293034</c:v>
                </c:pt>
              </c:numCache>
            </c:numRef>
          </c:xVal>
          <c:yVal>
            <c:numRef>
              <c:f>'Summary comparison'!$E$2:$E$54</c:f>
              <c:numCache>
                <c:formatCode>General</c:formatCode>
                <c:ptCount val="53"/>
                <c:pt idx="0">
                  <c:v>207.7</c:v>
                </c:pt>
                <c:pt idx="1">
                  <c:v>199.85343434318182</c:v>
                </c:pt>
                <c:pt idx="2">
                  <c:v>199.41734127619051</c:v>
                </c:pt>
                <c:pt idx="3">
                  <c:v>229.52768162692306</c:v>
                </c:pt>
                <c:pt idx="4">
                  <c:v>190.15464646727276</c:v>
                </c:pt>
                <c:pt idx="5">
                  <c:v>203.84815217391304</c:v>
                </c:pt>
                <c:pt idx="6">
                  <c:v>200.23490259740254</c:v>
                </c:pt>
                <c:pt idx="7">
                  <c:v>182.14943396226423</c:v>
                </c:pt>
                <c:pt idx="8">
                  <c:v>179.9457692307692</c:v>
                </c:pt>
                <c:pt idx="9">
                  <c:v>187.42869047619047</c:v>
                </c:pt>
                <c:pt idx="10">
                  <c:v>178.56777777833338</c:v>
                </c:pt>
                <c:pt idx="11">
                  <c:v>176.79515350921056</c:v>
                </c:pt>
                <c:pt idx="12">
                  <c:v>199.14800595178576</c:v>
                </c:pt>
                <c:pt idx="13">
                  <c:v>192.69239864864863</c:v>
                </c:pt>
                <c:pt idx="14">
                  <c:v>204.41435810810808</c:v>
                </c:pt>
                <c:pt idx="15">
                  <c:v>198.11006666666665</c:v>
                </c:pt>
                <c:pt idx="16">
                  <c:v>192.31912337662345</c:v>
                </c:pt>
                <c:pt idx="17">
                  <c:v>188.98943396226417</c:v>
                </c:pt>
                <c:pt idx="18">
                  <c:v>185.36976973684216</c:v>
                </c:pt>
                <c:pt idx="19">
                  <c:v>194.8136265425926</c:v>
                </c:pt>
                <c:pt idx="20">
                  <c:v>195.83363636363634</c:v>
                </c:pt>
                <c:pt idx="21">
                  <c:v>187.3135544224489</c:v>
                </c:pt>
                <c:pt idx="22">
                  <c:v>189.56727272727275</c:v>
                </c:pt>
                <c:pt idx="23">
                  <c:v>203.66729166666667</c:v>
                </c:pt>
                <c:pt idx="24">
                  <c:v>205.39892543815785</c:v>
                </c:pt>
                <c:pt idx="25">
                  <c:v>205.23376984047621</c:v>
                </c:pt>
                <c:pt idx="26">
                  <c:v>212.32023026315792</c:v>
                </c:pt>
                <c:pt idx="27">
                  <c:v>213.94625926000001</c:v>
                </c:pt>
                <c:pt idx="28">
                  <c:v>208.17526570000001</c:v>
                </c:pt>
                <c:pt idx="29">
                  <c:v>200.4119155844156</c:v>
                </c:pt>
                <c:pt idx="30">
                  <c:v>197.59935897435898</c:v>
                </c:pt>
                <c:pt idx="31">
                  <c:v>205.10216216216222</c:v>
                </c:pt>
                <c:pt idx="32">
                  <c:v>200.16319230769236</c:v>
                </c:pt>
                <c:pt idx="33">
                  <c:v>211.92568181818177</c:v>
                </c:pt>
                <c:pt idx="34">
                  <c:v>187.86709847999998</c:v>
                </c:pt>
                <c:pt idx="35">
                  <c:v>173.68213499718308</c:v>
                </c:pt>
                <c:pt idx="36">
                  <c:v>183.78371446976746</c:v>
                </c:pt>
                <c:pt idx="37">
                  <c:v>190.0856478585508</c:v>
                </c:pt>
                <c:pt idx="38">
                  <c:v>193.05445694210525</c:v>
                </c:pt>
                <c:pt idx="39">
                  <c:v>177.63497573388514</c:v>
                </c:pt>
                <c:pt idx="40">
                  <c:v>168.3472194206349</c:v>
                </c:pt>
                <c:pt idx="41">
                  <c:v>188.12501229859157</c:v>
                </c:pt>
                <c:pt idx="42">
                  <c:v>180.63138649365078</c:v>
                </c:pt>
                <c:pt idx="43">
                  <c:v>196.92334977499996</c:v>
                </c:pt>
                <c:pt idx="44">
                  <c:v>214.29176470980394</c:v>
                </c:pt>
                <c:pt idx="45">
                  <c:v>193.85614020394743</c:v>
                </c:pt>
                <c:pt idx="46">
                  <c:v>182.54440876666666</c:v>
                </c:pt>
                <c:pt idx="47">
                  <c:v>196.80397850000006</c:v>
                </c:pt>
                <c:pt idx="48">
                  <c:v>196.46844291917802</c:v>
                </c:pt>
                <c:pt idx="49">
                  <c:v>190.91622593506489</c:v>
                </c:pt>
                <c:pt idx="50">
                  <c:v>201.03681406530609</c:v>
                </c:pt>
                <c:pt idx="51">
                  <c:v>185.39472960266662</c:v>
                </c:pt>
                <c:pt idx="52">
                  <c:v>198.08818594081629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15-4604-8613-3A76F5F67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7561296"/>
        <c:axId val="577557032"/>
      </c:scatterChart>
      <c:valAx>
        <c:axId val="577561296"/>
        <c:scaling>
          <c:orientation val="minMax"/>
          <c:max val="240"/>
          <c:min val="1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BLO</a:t>
                </a:r>
                <a:r>
                  <a:rPr lang="en-US" sz="1800" baseline="0"/>
                  <a:t> Temperature (K)</a:t>
                </a:r>
                <a:endParaRPr 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557032"/>
        <c:crosses val="autoZero"/>
        <c:crossBetween val="midCat"/>
      </c:valAx>
      <c:valAx>
        <c:axId val="577557032"/>
        <c:scaling>
          <c:orientation val="minMax"/>
          <c:min val="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AWE Temperature (K)</a:t>
                </a:r>
              </a:p>
            </c:rich>
          </c:tx>
          <c:layout>
            <c:manualLayout>
              <c:xMode val="edge"/>
              <c:yMode val="edge"/>
              <c:x val="8.4563734067478556E-3"/>
              <c:y val="0.290317200474948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561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3FEB75B-3BD1-4CB2-9DBF-9DF3B754072F}">
  <sheetPr/>
  <sheetViews>
    <sheetView zoomScale="9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4589" cy="62895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260F61-2E91-45DC-B24C-F0153D4E7D0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43E61-1D5F-4DE9-9F20-232CF9197DA9}">
  <dimension ref="A1:F56"/>
  <sheetViews>
    <sheetView tabSelected="1" topLeftCell="A34" workbookViewId="0">
      <selection activeCell="H33" sqref="H33"/>
    </sheetView>
  </sheetViews>
  <sheetFormatPr defaultRowHeight="14.6" x14ac:dyDescent="0.4"/>
  <cols>
    <col min="1" max="1" width="11.921875" bestFit="1" customWidth="1"/>
    <col min="2" max="2" width="9.3828125" bestFit="1" customWidth="1"/>
    <col min="3" max="3" width="11.53515625" bestFit="1" customWidth="1"/>
    <col min="4" max="4" width="11.4609375" bestFit="1" customWidth="1"/>
    <col min="5" max="5" width="9.921875" bestFit="1" customWidth="1"/>
    <col min="6" max="6" width="9.84375" bestFit="1" customWidth="1"/>
  </cols>
  <sheetData>
    <row r="1" spans="1:6" x14ac:dyDescent="0.4">
      <c r="A1" t="s">
        <v>0</v>
      </c>
      <c r="B1" t="s">
        <v>37</v>
      </c>
      <c r="C1" t="s">
        <v>38</v>
      </c>
      <c r="D1" t="s">
        <v>39</v>
      </c>
      <c r="E1" t="s">
        <v>1</v>
      </c>
      <c r="F1" t="s">
        <v>2</v>
      </c>
    </row>
    <row r="2" spans="1:6" x14ac:dyDescent="0.4">
      <c r="A2" t="s">
        <v>3</v>
      </c>
      <c r="B2">
        <v>2023</v>
      </c>
      <c r="C2">
        <v>209.53</v>
      </c>
      <c r="D2">
        <v>0.04</v>
      </c>
      <c r="E2">
        <v>207.7</v>
      </c>
      <c r="F2">
        <v>0.32</v>
      </c>
    </row>
    <row r="3" spans="1:6" x14ac:dyDescent="0.4">
      <c r="A3" t="s">
        <v>4</v>
      </c>
      <c r="B3">
        <v>2023</v>
      </c>
      <c r="C3">
        <v>199.98</v>
      </c>
      <c r="D3">
        <v>0.97</v>
      </c>
      <c r="E3">
        <v>199.85343434318182</v>
      </c>
      <c r="F3">
        <v>1.2746338468086047</v>
      </c>
    </row>
    <row r="4" spans="1:6" x14ac:dyDescent="0.4">
      <c r="A4" t="s">
        <v>5</v>
      </c>
      <c r="B4">
        <v>2023</v>
      </c>
      <c r="C4">
        <v>198.75855507299508</v>
      </c>
      <c r="D4">
        <v>0.33857990307856933</v>
      </c>
      <c r="E4">
        <v>199.41734127619051</v>
      </c>
      <c r="F4">
        <v>0.31172936959447639</v>
      </c>
    </row>
    <row r="5" spans="1:6" x14ac:dyDescent="0.4">
      <c r="A5" t="s">
        <v>6</v>
      </c>
      <c r="B5">
        <v>2023</v>
      </c>
      <c r="C5">
        <v>222.08475496811042</v>
      </c>
      <c r="D5">
        <v>0.67590413490655754</v>
      </c>
      <c r="E5">
        <v>229.52768162692306</v>
      </c>
      <c r="F5">
        <v>0.93927351496822853</v>
      </c>
    </row>
    <row r="6" spans="1:6" x14ac:dyDescent="0.4">
      <c r="A6" t="s">
        <v>7</v>
      </c>
      <c r="B6">
        <v>2024</v>
      </c>
      <c r="C6">
        <v>188.14112456658327</v>
      </c>
      <c r="D6">
        <v>1.2144240563202136</v>
      </c>
      <c r="E6">
        <v>190.15464646727276</v>
      </c>
      <c r="F6">
        <v>1.4403348471885764</v>
      </c>
    </row>
    <row r="7" spans="1:6" x14ac:dyDescent="0.4">
      <c r="A7" s="1" t="s">
        <v>8</v>
      </c>
      <c r="B7">
        <v>2024</v>
      </c>
      <c r="C7">
        <v>208.26223701697359</v>
      </c>
      <c r="D7">
        <v>1.6701906984599131</v>
      </c>
      <c r="E7">
        <v>203.84815217391304</v>
      </c>
      <c r="F7">
        <v>0.68686674033056194</v>
      </c>
    </row>
    <row r="8" spans="1:6" x14ac:dyDescent="0.4">
      <c r="A8" s="1" t="s">
        <v>9</v>
      </c>
      <c r="B8">
        <v>2024</v>
      </c>
      <c r="C8">
        <v>199.59230947160759</v>
      </c>
      <c r="D8">
        <v>0.54594258265265827</v>
      </c>
      <c r="E8">
        <v>200.23490259740254</v>
      </c>
      <c r="F8">
        <v>0.61101854157714441</v>
      </c>
    </row>
    <row r="9" spans="1:6" x14ac:dyDescent="0.4">
      <c r="A9" s="1" t="s">
        <v>10</v>
      </c>
      <c r="B9">
        <v>2024</v>
      </c>
      <c r="C9">
        <v>187.38332165968177</v>
      </c>
      <c r="D9">
        <v>0.23789502066890084</v>
      </c>
      <c r="E9">
        <v>182.14943396226423</v>
      </c>
      <c r="F9">
        <v>0.64753594374348655</v>
      </c>
    </row>
    <row r="10" spans="1:6" x14ac:dyDescent="0.4">
      <c r="A10" s="1" t="s">
        <v>11</v>
      </c>
      <c r="B10">
        <v>2024</v>
      </c>
      <c r="C10">
        <v>182.96300515546471</v>
      </c>
      <c r="D10">
        <v>0.43295786582629281</v>
      </c>
      <c r="E10">
        <v>179.9457692307692</v>
      </c>
      <c r="F10">
        <v>0.49245184148687787</v>
      </c>
    </row>
    <row r="11" spans="1:6" x14ac:dyDescent="0.4">
      <c r="A11" s="1" t="s">
        <v>12</v>
      </c>
      <c r="B11">
        <v>2024</v>
      </c>
      <c r="C11">
        <v>192.57512937318376</v>
      </c>
      <c r="D11">
        <v>0.48253655559107794</v>
      </c>
      <c r="E11">
        <v>187.42869047619047</v>
      </c>
      <c r="F11">
        <v>0.90429796522376227</v>
      </c>
    </row>
    <row r="12" spans="1:6" x14ac:dyDescent="0.4">
      <c r="A12" s="1" t="s">
        <v>13</v>
      </c>
      <c r="B12">
        <v>2024</v>
      </c>
      <c r="C12">
        <v>177.73208506151701</v>
      </c>
      <c r="D12">
        <v>0.90939611633051398</v>
      </c>
      <c r="E12">
        <v>178.56777777833338</v>
      </c>
      <c r="F12">
        <v>0.96649424606335599</v>
      </c>
    </row>
    <row r="13" spans="1:6" x14ac:dyDescent="0.4">
      <c r="A13" s="1" t="s">
        <v>14</v>
      </c>
      <c r="B13">
        <v>2024</v>
      </c>
      <c r="C13">
        <v>183.90193577156123</v>
      </c>
      <c r="D13">
        <v>0.82904433120436105</v>
      </c>
      <c r="E13">
        <v>176.79515350921056</v>
      </c>
      <c r="F13">
        <v>1.0566023709415195</v>
      </c>
    </row>
    <row r="14" spans="1:6" x14ac:dyDescent="0.4">
      <c r="A14" s="1" t="s">
        <v>15</v>
      </c>
      <c r="B14">
        <v>2024</v>
      </c>
      <c r="C14">
        <v>198.10607874119461</v>
      </c>
      <c r="D14">
        <v>0.60223737725297133</v>
      </c>
      <c r="E14">
        <v>199.14800595178576</v>
      </c>
      <c r="F14">
        <v>2.2322673313435684</v>
      </c>
    </row>
    <row r="15" spans="1:6" x14ac:dyDescent="0.4">
      <c r="A15" s="1" t="s">
        <v>16</v>
      </c>
      <c r="B15">
        <v>2024</v>
      </c>
      <c r="C15">
        <v>196.90756343458841</v>
      </c>
      <c r="D15">
        <v>0.70546161744565306</v>
      </c>
      <c r="E15">
        <v>192.69239864864863</v>
      </c>
      <c r="F15">
        <v>1.2652519132452451</v>
      </c>
    </row>
    <row r="16" spans="1:6" x14ac:dyDescent="0.4">
      <c r="A16" s="1" t="s">
        <v>17</v>
      </c>
      <c r="B16">
        <v>2024</v>
      </c>
      <c r="C16">
        <v>205.39687071036178</v>
      </c>
      <c r="D16">
        <v>0.38656534486955396</v>
      </c>
      <c r="E16">
        <v>204.41435810810808</v>
      </c>
      <c r="F16">
        <v>0.62271239717135274</v>
      </c>
    </row>
    <row r="17" spans="1:6" x14ac:dyDescent="0.4">
      <c r="A17" s="1" t="s">
        <v>18</v>
      </c>
      <c r="B17">
        <v>2024</v>
      </c>
      <c r="C17">
        <v>202.66232445088423</v>
      </c>
      <c r="D17">
        <v>0.88078860646930268</v>
      </c>
      <c r="E17">
        <v>198.11006666666665</v>
      </c>
      <c r="F17">
        <v>0.91618959493866392</v>
      </c>
    </row>
    <row r="18" spans="1:6" x14ac:dyDescent="0.4">
      <c r="A18" s="1" t="s">
        <v>19</v>
      </c>
      <c r="B18">
        <v>2024</v>
      </c>
      <c r="C18">
        <v>196.02705843095137</v>
      </c>
      <c r="D18">
        <v>0.56498032403391907</v>
      </c>
      <c r="E18">
        <v>192.31912337662345</v>
      </c>
      <c r="F18">
        <v>1.4912831020631117</v>
      </c>
    </row>
    <row r="19" spans="1:6" x14ac:dyDescent="0.4">
      <c r="A19" s="2" t="s">
        <v>20</v>
      </c>
      <c r="B19">
        <v>2024</v>
      </c>
      <c r="C19">
        <v>194.20068087932762</v>
      </c>
      <c r="D19">
        <v>0.68949600342642881</v>
      </c>
      <c r="E19">
        <v>188.98943396226417</v>
      </c>
      <c r="F19">
        <v>0.75420115683962652</v>
      </c>
    </row>
    <row r="20" spans="1:6" x14ac:dyDescent="0.4">
      <c r="A20" s="2" t="s">
        <v>21</v>
      </c>
      <c r="B20">
        <v>2024</v>
      </c>
      <c r="C20">
        <v>189.9383572102054</v>
      </c>
      <c r="D20">
        <v>1.0414347488418696</v>
      </c>
      <c r="E20">
        <v>185.36976973684216</v>
      </c>
      <c r="F20">
        <v>0.45635607034266279</v>
      </c>
    </row>
    <row r="21" spans="1:6" x14ac:dyDescent="0.4">
      <c r="A21" s="2" t="s">
        <v>22</v>
      </c>
      <c r="B21">
        <v>2024</v>
      </c>
      <c r="C21">
        <v>200.56942496960681</v>
      </c>
      <c r="D21">
        <v>0.55488630993367405</v>
      </c>
      <c r="E21">
        <v>194.8136265425926</v>
      </c>
      <c r="F21">
        <v>0.45125364337807672</v>
      </c>
    </row>
    <row r="22" spans="1:6" x14ac:dyDescent="0.4">
      <c r="A22" s="2" t="s">
        <v>23</v>
      </c>
      <c r="B22">
        <v>2024</v>
      </c>
      <c r="C22">
        <v>199.00881931873022</v>
      </c>
      <c r="D22">
        <v>0.67638615541660829</v>
      </c>
      <c r="E22">
        <v>195.83363636363634</v>
      </c>
      <c r="F22">
        <v>1.040284749215215</v>
      </c>
    </row>
    <row r="23" spans="1:6" x14ac:dyDescent="0.4">
      <c r="A23" s="2" t="s">
        <v>24</v>
      </c>
      <c r="B23">
        <v>2024</v>
      </c>
      <c r="C23">
        <v>199.00881931873022</v>
      </c>
      <c r="D23">
        <v>0.61317450892989223</v>
      </c>
      <c r="E23">
        <v>187.3135544224489</v>
      </c>
      <c r="F23">
        <v>0.55402070296117345</v>
      </c>
    </row>
    <row r="24" spans="1:6" x14ac:dyDescent="0.4">
      <c r="A24" s="2" t="s">
        <v>25</v>
      </c>
      <c r="B24">
        <v>2024</v>
      </c>
      <c r="C24">
        <v>195.93798904065497</v>
      </c>
      <c r="D24">
        <v>0.82180607022994823</v>
      </c>
      <c r="E24">
        <v>189.56727272727275</v>
      </c>
      <c r="F24">
        <v>0.66314728242059617</v>
      </c>
    </row>
    <row r="25" spans="1:6" x14ac:dyDescent="0.4">
      <c r="A25" s="2" t="s">
        <v>26</v>
      </c>
      <c r="B25">
        <v>2024</v>
      </c>
      <c r="C25">
        <v>208.86882923169622</v>
      </c>
      <c r="D25">
        <v>0.5160155286239777</v>
      </c>
      <c r="E25">
        <v>203.66729166666667</v>
      </c>
      <c r="F25">
        <v>0.92785259774908035</v>
      </c>
    </row>
    <row r="26" spans="1:6" x14ac:dyDescent="0.4">
      <c r="A26" s="2" t="s">
        <v>27</v>
      </c>
      <c r="B26">
        <v>2024</v>
      </c>
      <c r="C26">
        <v>209.48824893057031</v>
      </c>
      <c r="D26">
        <v>1.7882526548007498</v>
      </c>
      <c r="E26">
        <v>205.39892543815785</v>
      </c>
      <c r="F26">
        <v>0.7490394087093093</v>
      </c>
    </row>
    <row r="27" spans="1:6" x14ac:dyDescent="0.4">
      <c r="A27" s="2" t="s">
        <v>28</v>
      </c>
      <c r="B27">
        <v>2024</v>
      </c>
      <c r="C27">
        <v>209.03047528280558</v>
      </c>
      <c r="D27">
        <v>0.96759075588687271</v>
      </c>
      <c r="E27">
        <v>205.23376984047621</v>
      </c>
      <c r="F27">
        <v>0.51113976766433189</v>
      </c>
    </row>
    <row r="28" spans="1:6" x14ac:dyDescent="0.4">
      <c r="A28" s="2" t="s">
        <v>29</v>
      </c>
      <c r="B28">
        <v>2024</v>
      </c>
      <c r="C28">
        <v>215.9988361927436</v>
      </c>
      <c r="D28">
        <v>0.82707985163301001</v>
      </c>
      <c r="E28">
        <v>212.32023026315792</v>
      </c>
      <c r="F28">
        <v>0.64503025479838016</v>
      </c>
    </row>
    <row r="29" spans="1:6" x14ac:dyDescent="0.4">
      <c r="A29" s="2" t="s">
        <v>30</v>
      </c>
      <c r="B29">
        <v>2024</v>
      </c>
      <c r="C29">
        <v>214.2979707360966</v>
      </c>
      <c r="D29">
        <v>0.72484455840033724</v>
      </c>
      <c r="E29">
        <v>213.94625926000001</v>
      </c>
      <c r="F29">
        <v>1.0119889534720974</v>
      </c>
    </row>
    <row r="30" spans="1:6" x14ac:dyDescent="0.4">
      <c r="A30" s="2" t="s">
        <v>31</v>
      </c>
      <c r="B30">
        <v>2024</v>
      </c>
      <c r="C30">
        <v>214.82250308789102</v>
      </c>
      <c r="D30">
        <v>1.5370822205374801</v>
      </c>
      <c r="E30">
        <v>208.17526570000001</v>
      </c>
      <c r="F30">
        <v>0.94022882373459249</v>
      </c>
    </row>
    <row r="31" spans="1:6" x14ac:dyDescent="0.4">
      <c r="A31" s="2" t="s">
        <v>32</v>
      </c>
      <c r="B31">
        <v>2024</v>
      </c>
      <c r="C31">
        <v>203.98486350945072</v>
      </c>
      <c r="D31">
        <v>0.27784445822275627</v>
      </c>
      <c r="E31">
        <v>200.4119155844156</v>
      </c>
      <c r="F31">
        <v>0.53650702282766349</v>
      </c>
    </row>
    <row r="32" spans="1:6" x14ac:dyDescent="0.4">
      <c r="A32" s="2" t="s">
        <v>33</v>
      </c>
      <c r="B32">
        <v>2025</v>
      </c>
      <c r="C32">
        <v>201.09753757173797</v>
      </c>
      <c r="D32">
        <v>1.0691569413282402</v>
      </c>
      <c r="E32">
        <v>197.59935897435898</v>
      </c>
      <c r="F32">
        <v>0.78609056886015538</v>
      </c>
    </row>
    <row r="33" spans="1:6" x14ac:dyDescent="0.4">
      <c r="A33" s="2" t="s">
        <v>34</v>
      </c>
      <c r="B33">
        <v>2025</v>
      </c>
      <c r="C33">
        <v>209.49654333684765</v>
      </c>
      <c r="D33">
        <v>0.42438086443317474</v>
      </c>
      <c r="E33">
        <v>205.10216216216222</v>
      </c>
      <c r="F33">
        <v>1.1738637109978716</v>
      </c>
    </row>
    <row r="34" spans="1:6" x14ac:dyDescent="0.4">
      <c r="A34" s="2" t="s">
        <v>35</v>
      </c>
      <c r="B34">
        <v>2025</v>
      </c>
      <c r="C34">
        <v>204.61643779903517</v>
      </c>
      <c r="D34">
        <v>0.24634793470395167</v>
      </c>
      <c r="E34">
        <v>200.16319230769236</v>
      </c>
      <c r="F34">
        <v>0.81530986580787546</v>
      </c>
    </row>
    <row r="35" spans="1:6" x14ac:dyDescent="0.4">
      <c r="A35" s="2" t="s">
        <v>36</v>
      </c>
      <c r="B35">
        <v>2025</v>
      </c>
      <c r="C35">
        <v>217.65225580507544</v>
      </c>
      <c r="D35">
        <v>1.1514391466626885</v>
      </c>
      <c r="E35">
        <v>211.92568181818177</v>
      </c>
      <c r="F35">
        <v>0.8622524409275526</v>
      </c>
    </row>
    <row r="36" spans="1:6" x14ac:dyDescent="0.4">
      <c r="A36" s="1" t="s">
        <v>42</v>
      </c>
      <c r="B36">
        <v>2025</v>
      </c>
      <c r="C36">
        <v>196.97565790106998</v>
      </c>
      <c r="D36">
        <v>1.3822208348394085</v>
      </c>
      <c r="E36">
        <v>187.86709847999998</v>
      </c>
      <c r="F36">
        <v>1.1471525724608094</v>
      </c>
    </row>
    <row r="37" spans="1:6" x14ac:dyDescent="0.4">
      <c r="A37" s="1" t="s">
        <v>43</v>
      </c>
      <c r="B37">
        <v>2025</v>
      </c>
      <c r="C37">
        <v>178.28364376759509</v>
      </c>
      <c r="D37">
        <v>0.37528662449802708</v>
      </c>
      <c r="E37">
        <v>173.68213499718308</v>
      </c>
      <c r="F37">
        <v>0.48588815773151312</v>
      </c>
    </row>
    <row r="38" spans="1:6" x14ac:dyDescent="0.4">
      <c r="A38" s="1" t="s">
        <v>11</v>
      </c>
      <c r="B38">
        <v>2025</v>
      </c>
      <c r="C38">
        <v>187.52258304135484</v>
      </c>
      <c r="D38">
        <v>0.52389013232931492</v>
      </c>
      <c r="E38">
        <v>183.78371446976746</v>
      </c>
      <c r="F38">
        <v>0.64702685019323647</v>
      </c>
    </row>
    <row r="39" spans="1:6" x14ac:dyDescent="0.4">
      <c r="A39" s="1" t="s">
        <v>44</v>
      </c>
      <c r="B39">
        <v>2025</v>
      </c>
      <c r="C39">
        <v>187.60225212499995</v>
      </c>
      <c r="D39">
        <v>0.70098844992059284</v>
      </c>
      <c r="E39">
        <v>190.0856478585508</v>
      </c>
      <c r="F39">
        <v>0.43563141168521219</v>
      </c>
    </row>
    <row r="40" spans="1:6" x14ac:dyDescent="0.4">
      <c r="A40" s="1" t="s">
        <v>45</v>
      </c>
      <c r="B40">
        <v>2025</v>
      </c>
      <c r="C40">
        <v>194.613908261826</v>
      </c>
      <c r="D40">
        <v>1.8432828961173044</v>
      </c>
      <c r="E40">
        <v>193.05445694210525</v>
      </c>
      <c r="F40">
        <v>1.4307720931450609</v>
      </c>
    </row>
    <row r="41" spans="1:6" x14ac:dyDescent="0.4">
      <c r="A41" s="1" t="s">
        <v>46</v>
      </c>
      <c r="B41">
        <v>2025</v>
      </c>
      <c r="C41">
        <v>172.2740131125</v>
      </c>
      <c r="D41">
        <v>1.7205244299491385</v>
      </c>
      <c r="E41">
        <v>177.63497573388514</v>
      </c>
      <c r="F41">
        <v>0.91013428714692468</v>
      </c>
    </row>
    <row r="42" spans="1:6" x14ac:dyDescent="0.4">
      <c r="A42" s="1" t="s">
        <v>47</v>
      </c>
      <c r="B42">
        <v>2025</v>
      </c>
      <c r="C42">
        <v>171.94302339208804</v>
      </c>
      <c r="D42">
        <v>0.76197225541779778</v>
      </c>
      <c r="E42">
        <v>168.3472194206349</v>
      </c>
      <c r="F42">
        <v>0.76533191725559246</v>
      </c>
    </row>
    <row r="43" spans="1:6" x14ac:dyDescent="0.4">
      <c r="A43" s="1" t="s">
        <v>48</v>
      </c>
      <c r="B43">
        <v>2025</v>
      </c>
      <c r="C43">
        <v>189.5452664957005</v>
      </c>
      <c r="D43">
        <v>1.1317749673023205</v>
      </c>
      <c r="E43">
        <v>188.12501229859157</v>
      </c>
      <c r="F43">
        <v>0.71581154948226289</v>
      </c>
    </row>
    <row r="44" spans="1:6" x14ac:dyDescent="0.4">
      <c r="A44" s="1" t="s">
        <v>49</v>
      </c>
      <c r="B44">
        <v>2025</v>
      </c>
      <c r="C44">
        <v>180.82954958269141</v>
      </c>
      <c r="D44">
        <v>0.37328716685442698</v>
      </c>
      <c r="E44">
        <v>180.63138649365078</v>
      </c>
      <c r="F44">
        <v>1.4768801228596189</v>
      </c>
    </row>
    <row r="45" spans="1:6" x14ac:dyDescent="0.4">
      <c r="A45" s="1" t="s">
        <v>50</v>
      </c>
      <c r="B45">
        <v>2025</v>
      </c>
      <c r="C45">
        <v>201.83849897108649</v>
      </c>
      <c r="D45">
        <v>0.70173599730330161</v>
      </c>
      <c r="E45">
        <v>196.92334977499996</v>
      </c>
      <c r="F45">
        <v>0.85211329610327413</v>
      </c>
    </row>
    <row r="46" spans="1:6" x14ac:dyDescent="0.4">
      <c r="A46" s="1" t="s">
        <v>51</v>
      </c>
      <c r="B46">
        <v>2025</v>
      </c>
      <c r="C46">
        <v>220.03074033497404</v>
      </c>
      <c r="D46">
        <v>0.83408057617841314</v>
      </c>
      <c r="E46">
        <v>214.29176470980394</v>
      </c>
      <c r="F46">
        <v>2.8470396520045003</v>
      </c>
    </row>
    <row r="47" spans="1:6" x14ac:dyDescent="0.4">
      <c r="A47" s="1" t="s">
        <v>17</v>
      </c>
      <c r="B47">
        <v>2025</v>
      </c>
      <c r="C47">
        <v>200.01481133125685</v>
      </c>
      <c r="D47">
        <v>0.42401815705619655</v>
      </c>
      <c r="E47">
        <v>193.85614020394743</v>
      </c>
      <c r="F47">
        <v>0.203670402772308</v>
      </c>
    </row>
    <row r="48" spans="1:6" x14ac:dyDescent="0.4">
      <c r="A48" s="1" t="s">
        <v>52</v>
      </c>
      <c r="B48">
        <v>2025</v>
      </c>
      <c r="C48">
        <v>190.59374472044647</v>
      </c>
      <c r="D48">
        <v>0.96000686902749377</v>
      </c>
      <c r="E48">
        <v>182.54440876666666</v>
      </c>
      <c r="F48">
        <v>1.2605550077793013</v>
      </c>
    </row>
    <row r="49" spans="1:6" x14ac:dyDescent="0.4">
      <c r="A49" s="1" t="s">
        <v>53</v>
      </c>
      <c r="B49">
        <v>2025</v>
      </c>
      <c r="C49">
        <v>199.33616638682943</v>
      </c>
      <c r="D49">
        <v>0.43845764258257675</v>
      </c>
      <c r="E49">
        <v>196.80397850000006</v>
      </c>
      <c r="F49">
        <v>0.79477448008690965</v>
      </c>
    </row>
    <row r="50" spans="1:6" x14ac:dyDescent="0.4">
      <c r="A50" s="1" t="s">
        <v>18</v>
      </c>
      <c r="B50">
        <v>2025</v>
      </c>
      <c r="C50">
        <v>198.71732027239591</v>
      </c>
      <c r="D50">
        <v>1.2003119601528158</v>
      </c>
      <c r="E50">
        <v>196.46844291917802</v>
      </c>
      <c r="F50">
        <v>2.2520018680091902</v>
      </c>
    </row>
    <row r="51" spans="1:6" x14ac:dyDescent="0.4">
      <c r="A51" s="1" t="s">
        <v>21</v>
      </c>
      <c r="B51">
        <v>2025</v>
      </c>
      <c r="C51">
        <v>195.76138202522873</v>
      </c>
      <c r="D51">
        <v>1.3099469530446077</v>
      </c>
      <c r="E51">
        <v>190.91622593506489</v>
      </c>
      <c r="F51">
        <v>0.37802468006739892</v>
      </c>
    </row>
    <row r="52" spans="1:6" x14ac:dyDescent="0.4">
      <c r="A52" s="1" t="s">
        <v>54</v>
      </c>
      <c r="B52">
        <v>2025</v>
      </c>
      <c r="C52">
        <v>202.67931252028501</v>
      </c>
      <c r="D52">
        <v>1.4501013668666303</v>
      </c>
      <c r="E52">
        <v>201.03681406530609</v>
      </c>
      <c r="F52">
        <v>1.5795675124360824</v>
      </c>
    </row>
    <row r="53" spans="1:6" x14ac:dyDescent="0.4">
      <c r="A53" s="1" t="s">
        <v>55</v>
      </c>
      <c r="B53">
        <v>2025</v>
      </c>
      <c r="C53">
        <v>195.89919533035808</v>
      </c>
      <c r="D53">
        <v>1.732352363479073</v>
      </c>
      <c r="E53">
        <v>185.39472960266662</v>
      </c>
      <c r="F53">
        <v>0.63722090973122825</v>
      </c>
    </row>
    <row r="54" spans="1:6" x14ac:dyDescent="0.4">
      <c r="A54" s="1" t="s">
        <v>23</v>
      </c>
      <c r="B54">
        <v>2025</v>
      </c>
      <c r="C54">
        <v>203.42632648293034</v>
      </c>
      <c r="D54">
        <v>0.50938724496780519</v>
      </c>
      <c r="E54">
        <v>198.08818594081629</v>
      </c>
      <c r="F54">
        <v>1.2277456721186422</v>
      </c>
    </row>
    <row r="55" spans="1:6" x14ac:dyDescent="0.4">
      <c r="B55" s="3" t="s">
        <v>40</v>
      </c>
      <c r="C55">
        <f>AVERAGE(C2:C54)</f>
        <v>198.22472343702793</v>
      </c>
      <c r="D55" s="4" t="s">
        <v>40</v>
      </c>
      <c r="E55">
        <f>AVERAGE(E2:E54)</f>
        <v>194.86177302031382</v>
      </c>
    </row>
    <row r="56" spans="1:6" x14ac:dyDescent="0.4">
      <c r="B56" s="4" t="s">
        <v>41</v>
      </c>
      <c r="C56">
        <f>STDEV(C2:C54)</f>
        <v>11.495634258442509</v>
      </c>
      <c r="D56" s="4" t="s">
        <v>41</v>
      </c>
      <c r="E56">
        <f>STDEV(E2:E54)</f>
        <v>11.693639386584133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Summary comparison</vt:lpstr>
      <vt:lpstr>Comparison AWE vs BLO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Dominique Pautet</dc:creator>
  <cp:lastModifiedBy>Anh Phan</cp:lastModifiedBy>
  <dcterms:created xsi:type="dcterms:W3CDTF">2025-11-15T21:05:20Z</dcterms:created>
  <dcterms:modified xsi:type="dcterms:W3CDTF">2025-12-05T09:02:10Z</dcterms:modified>
</cp:coreProperties>
</file>